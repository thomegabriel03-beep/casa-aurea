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OneDrive\Área de Trabalho\"/>
    </mc:Choice>
  </mc:AlternateContent>
  <xr:revisionPtr revIDLastSave="0" documentId="8_{871B153C-C75B-46E8-AA7A-CB803ECD16E8}" xr6:coauthVersionLast="47" xr6:coauthVersionMax="47" xr10:uidLastSave="{00000000-0000-0000-0000-000000000000}"/>
  <bookViews>
    <workbookView xWindow="-120" yWindow="-120" windowWidth="20730" windowHeight="11760" xr2:uid="{251205E0-8FA2-4122-91A9-47DD98F3BA10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1" l="1"/>
  <c r="B54" i="1" s="1"/>
  <c r="B56" i="1" s="1"/>
  <c r="B57" i="1" s="1"/>
  <c r="D53" i="1"/>
  <c r="B7" i="1" s="1"/>
  <c r="G14" i="1" s="1"/>
  <c r="O12" i="1" s="1"/>
  <c r="G18" i="1" s="1"/>
  <c r="G25" i="1" s="1"/>
  <c r="C7" i="1" l="1"/>
  <c r="H14" i="1" s="1"/>
  <c r="P12" i="1" s="1"/>
  <c r="H18" i="1" s="1"/>
  <c r="I25" i="1" s="1"/>
  <c r="D7" i="1"/>
  <c r="I14" i="1" s="1"/>
  <c r="Q12" i="1" s="1"/>
  <c r="I18" i="1" s="1"/>
  <c r="K25" i="1" l="1"/>
  <c r="K27" i="1" s="1"/>
  <c r="K20" i="1"/>
</calcChain>
</file>

<file path=xl/sharedStrings.xml><?xml version="1.0" encoding="utf-8"?>
<sst xmlns="http://schemas.openxmlformats.org/spreadsheetml/2006/main" count="33" uniqueCount="32">
  <si>
    <t>Barra</t>
  </si>
  <si>
    <t>Medida altura</t>
  </si>
  <si>
    <t>Medida Largura</t>
  </si>
  <si>
    <t>Entretela e sobra</t>
  </si>
  <si>
    <t>valor da altura</t>
  </si>
  <si>
    <t>Quantidade de Tecido</t>
  </si>
  <si>
    <t>Quantidade de forro</t>
  </si>
  <si>
    <t>Quantidade de Black-out</t>
  </si>
  <si>
    <t>black out</t>
  </si>
  <si>
    <t>largura Black out</t>
  </si>
  <si>
    <t>Preço Tecido</t>
  </si>
  <si>
    <t>Preço forro</t>
  </si>
  <si>
    <t>Preço Black-OUT</t>
  </si>
  <si>
    <t>CUSTOS</t>
  </si>
  <si>
    <t>Trilho</t>
  </si>
  <si>
    <t>Instalação</t>
  </si>
  <si>
    <t>Mão de Obra</t>
  </si>
  <si>
    <t>Contina</t>
  </si>
  <si>
    <t>Black-Out</t>
  </si>
  <si>
    <t>Forro</t>
  </si>
  <si>
    <t>Valores Venda</t>
  </si>
  <si>
    <t xml:space="preserve">Porgentagem de </t>
  </si>
  <si>
    <t>RT</t>
  </si>
  <si>
    <t>% CORTINA</t>
  </si>
  <si>
    <t>% FORRO</t>
  </si>
  <si>
    <t>% BLACK OUT</t>
  </si>
  <si>
    <t>Cortina com forro</t>
  </si>
  <si>
    <t>Lucro</t>
  </si>
  <si>
    <t>Cortina</t>
  </si>
  <si>
    <t/>
  </si>
  <si>
    <t xml:space="preserve"> </t>
  </si>
  <si>
    <t>Bk com cortina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</si>
</sst>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3" fontId="0" fillId="0" borderId="0" xfId="1" applyFont="1"/>
    <xf numFmtId="43" fontId="0" fillId="0" borderId="0" xfId="0" applyNumberFormat="1"/>
    <xf numFmtId="44" fontId="0" fillId="0" borderId="0" xfId="2" applyFont="1"/>
    <xf numFmtId="44" fontId="0" fillId="0" borderId="0" xfId="0" applyNumberFormat="1"/>
    <xf numFmtId="9" fontId="0" fillId="0" borderId="0" xfId="0" applyNumberFormat="1"/>
    <xf numFmtId="9" fontId="0" fillId="0" borderId="0" xfId="3" applyFont="1"/>
    <xf numFmtId="44" fontId="0" fillId="2" borderId="0" xfId="0" applyNumberFormat="1" applyFill="1"/>
    <xf numFmtId="44" fontId="0" fillId="2" borderId="0" xfId="2" applyFont="1" applyFill="1"/>
    <xf numFmtId="0" fontId="0" fillId="2" borderId="0" xfId="0" applyFill="1" applyAlignment="1">
      <alignment horizontal="center"/>
    </xf>
    <xf numFmtId="43" fontId="0" fillId="2" borderId="0" xfId="1" applyFont="1" applyFill="1"/>
    <xf numFmtId="43" fontId="0" fillId="2" borderId="0" xfId="0" applyNumberFormat="1" applyFill="1"/>
    <xf numFmtId="44" fontId="0" fillId="3" borderId="0" xfId="0" applyNumberFormat="1" applyFill="1"/>
    <xf numFmtId="0" fontId="0" fillId="0" borderId="0" xfId="0" quotePrefix="1"/>
    <xf numFmtId="44" fontId="0" fillId="3" borderId="0" xfId="0" applyNumberFormat="1" applyFill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9862-CEC1-4BA4-B65F-4AAAA84C4968}">
  <dimension ref="A1:AL57"/>
  <sheetViews>
    <sheetView tabSelected="1" workbookViewId="0">
      <selection activeCell="H8" sqref="H8"/>
    </sheetView>
  </sheetViews>
  <sheetFormatPr defaultRowHeight="15" x14ac:dyDescent="0.25"/>
  <cols>
    <col min="1" max="1" width="20.85546875" customWidth="1"/>
    <col min="2" max="2" width="24.140625" customWidth="1"/>
    <col min="3" max="3" width="19.7109375" customWidth="1"/>
    <col min="4" max="4" width="21.7109375" customWidth="1"/>
    <col min="5" max="5" width="2.28515625" customWidth="1"/>
    <col min="6" max="6" width="2" customWidth="1"/>
    <col min="7" max="7" width="19.85546875" customWidth="1"/>
    <col min="8" max="8" width="19" customWidth="1"/>
    <col min="9" max="9" width="18.140625" customWidth="1"/>
    <col min="10" max="11" width="14.7109375" customWidth="1"/>
    <col min="12" max="12" width="18.85546875" customWidth="1"/>
    <col min="15" max="15" width="12.85546875" customWidth="1"/>
    <col min="16" max="16" width="15.7109375" customWidth="1"/>
    <col min="17" max="17" width="12" customWidth="1"/>
  </cols>
  <sheetData>
    <row r="1" spans="1:38" x14ac:dyDescent="0.25">
      <c r="A1" s="1" t="s">
        <v>2</v>
      </c>
      <c r="B1" s="1" t="s">
        <v>1</v>
      </c>
      <c r="C1" s="1" t="s">
        <v>0</v>
      </c>
      <c r="D1" s="1" t="s">
        <v>3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16</v>
      </c>
    </row>
    <row r="2" spans="1:38" x14ac:dyDescent="0.25">
      <c r="A2" s="1">
        <v>2.66</v>
      </c>
      <c r="B2" s="1">
        <v>3.2</v>
      </c>
      <c r="C2" s="2">
        <v>0.5</v>
      </c>
      <c r="D2" s="11">
        <v>0.22</v>
      </c>
      <c r="G2" s="5">
        <v>24.9</v>
      </c>
      <c r="H2" s="5">
        <v>20</v>
      </c>
      <c r="I2" s="5">
        <v>60</v>
      </c>
      <c r="J2" s="10">
        <v>20</v>
      </c>
      <c r="K2" s="10">
        <v>35</v>
      </c>
      <c r="L2" s="10">
        <v>85</v>
      </c>
    </row>
    <row r="3" spans="1:38" x14ac:dyDescent="0.25">
      <c r="B3" s="15"/>
      <c r="AL3" s="15" t="s">
        <v>29</v>
      </c>
    </row>
    <row r="4" spans="1:38" x14ac:dyDescent="0.25">
      <c r="G4" t="s">
        <v>21</v>
      </c>
      <c r="I4" t="s">
        <v>22</v>
      </c>
    </row>
    <row r="5" spans="1:38" x14ac:dyDescent="0.25">
      <c r="G5" s="8">
        <v>0.7</v>
      </c>
      <c r="I5" s="7">
        <v>0</v>
      </c>
    </row>
    <row r="6" spans="1:38" x14ac:dyDescent="0.25">
      <c r="B6" t="s">
        <v>5</v>
      </c>
      <c r="C6" t="s">
        <v>6</v>
      </c>
      <c r="D6" t="s">
        <v>7</v>
      </c>
    </row>
    <row r="7" spans="1:38" x14ac:dyDescent="0.25">
      <c r="B7" s="12">
        <f>(A2*D53)</f>
        <v>10.427200000000001</v>
      </c>
      <c r="C7" s="12">
        <f>(A2*D53)</f>
        <v>10.427200000000001</v>
      </c>
      <c r="D7" s="13">
        <f>D53*B57</f>
        <v>7.8400000000000007</v>
      </c>
    </row>
    <row r="8" spans="1:38" x14ac:dyDescent="0.25">
      <c r="B8" s="3"/>
    </row>
    <row r="11" spans="1:38" x14ac:dyDescent="0.25">
      <c r="A11" t="s">
        <v>9</v>
      </c>
      <c r="O11" t="s">
        <v>23</v>
      </c>
      <c r="P11" t="s">
        <v>24</v>
      </c>
      <c r="Q11" t="s">
        <v>25</v>
      </c>
    </row>
    <row r="12" spans="1:38" x14ac:dyDescent="0.25">
      <c r="A12">
        <v>2.8</v>
      </c>
      <c r="H12" t="s">
        <v>13</v>
      </c>
      <c r="O12" s="9">
        <f>G14+(G14*G5)</f>
        <v>1074.4633760000002</v>
      </c>
      <c r="P12" s="9">
        <f>H14+(H14*G5)</f>
        <v>987.60480000000007</v>
      </c>
      <c r="Q12" s="9">
        <f>I14+(I14*G5)</f>
        <v>1432.7600000000002</v>
      </c>
    </row>
    <row r="13" spans="1:38" x14ac:dyDescent="0.25">
      <c r="G13" s="1" t="s">
        <v>17</v>
      </c>
      <c r="H13" s="1" t="s">
        <v>19</v>
      </c>
      <c r="I13" s="1" t="s">
        <v>18</v>
      </c>
    </row>
    <row r="14" spans="1:38" x14ac:dyDescent="0.25">
      <c r="G14" s="9">
        <f>(G2*B7)+(K2*A2)+(L2*A2)+(J2*A2)</f>
        <v>632.03728000000012</v>
      </c>
      <c r="H14" s="9">
        <f>(H2*C7)+(K2*A2)+(L2*A2)+(J2*A2)</f>
        <v>580.94400000000007</v>
      </c>
      <c r="I14" s="9">
        <f>(I2*D7)+(K2*A2)+(L2*A2)+(J2*A2)</f>
        <v>842.80000000000007</v>
      </c>
    </row>
    <row r="17" spans="3:11" x14ac:dyDescent="0.25">
      <c r="H17" t="s">
        <v>20</v>
      </c>
    </row>
    <row r="18" spans="3:11" x14ac:dyDescent="0.25">
      <c r="C18">
        <v>1560</v>
      </c>
      <c r="G18" s="6">
        <f>O12+(O12*I5)</f>
        <v>1074.4633760000002</v>
      </c>
      <c r="H18" s="6">
        <f>P12+(P12*I5)</f>
        <v>987.60480000000007</v>
      </c>
      <c r="I18" s="6">
        <f>Q12+(Q12*I5)</f>
        <v>1432.7600000000002</v>
      </c>
    </row>
    <row r="19" spans="3:11" x14ac:dyDescent="0.25">
      <c r="C19">
        <v>2468</v>
      </c>
      <c r="K19" t="s">
        <v>27</v>
      </c>
    </row>
    <row r="20" spans="3:11" x14ac:dyDescent="0.25">
      <c r="C20">
        <v>3047</v>
      </c>
      <c r="K20" s="14">
        <f>((G18+H18+I18)-(G14+H14+I14))</f>
        <v>1439.0468960000003</v>
      </c>
    </row>
    <row r="21" spans="3:11" x14ac:dyDescent="0.25">
      <c r="C21">
        <v>1543</v>
      </c>
    </row>
    <row r="22" spans="3:11" x14ac:dyDescent="0.25">
      <c r="C22">
        <v>1450</v>
      </c>
      <c r="G22" s="1"/>
      <c r="H22" s="1"/>
    </row>
    <row r="23" spans="3:11" x14ac:dyDescent="0.25">
      <c r="C23">
        <v>1650</v>
      </c>
      <c r="G23" s="6"/>
      <c r="H23" s="6"/>
      <c r="I23" s="6"/>
    </row>
    <row r="24" spans="3:11" x14ac:dyDescent="0.25">
      <c r="C24" s="5" t="s">
        <v>30</v>
      </c>
      <c r="G24" s="1" t="s">
        <v>28</v>
      </c>
      <c r="I24" s="1" t="s">
        <v>26</v>
      </c>
      <c r="K24" s="1" t="s">
        <v>18</v>
      </c>
    </row>
    <row r="25" spans="3:11" x14ac:dyDescent="0.25">
      <c r="G25" s="16">
        <f>G18</f>
        <v>1074.4633760000002</v>
      </c>
      <c r="I25" s="14">
        <f>G18+H18</f>
        <v>2062.0681760000002</v>
      </c>
      <c r="K25" s="14">
        <f>I18</f>
        <v>1432.7600000000002</v>
      </c>
    </row>
    <row r="26" spans="3:11" x14ac:dyDescent="0.25">
      <c r="G26" s="6"/>
      <c r="K26" t="s">
        <v>31</v>
      </c>
    </row>
    <row r="27" spans="3:11" x14ac:dyDescent="0.25">
      <c r="K27" s="14">
        <f>G25+K25</f>
        <v>2507.2233760000004</v>
      </c>
    </row>
    <row r="52" spans="2:4" x14ac:dyDescent="0.25">
      <c r="B52" t="s">
        <v>8</v>
      </c>
      <c r="D52" t="s">
        <v>4</v>
      </c>
    </row>
    <row r="53" spans="2:4" x14ac:dyDescent="0.25">
      <c r="B53" s="3">
        <f>(A2/2)</f>
        <v>1.33</v>
      </c>
      <c r="D53">
        <f>(B2+C2+D2)</f>
        <v>3.9200000000000004</v>
      </c>
    </row>
    <row r="54" spans="2:4" x14ac:dyDescent="0.25">
      <c r="B54" s="4">
        <f>A2+B53</f>
        <v>3.99</v>
      </c>
    </row>
    <row r="56" spans="2:4" x14ac:dyDescent="0.25">
      <c r="B56" s="4">
        <f>B54/A12</f>
        <v>1.4250000000000003</v>
      </c>
    </row>
    <row r="57" spans="2:4" x14ac:dyDescent="0.25">
      <c r="B57" s="4">
        <f>ROUNDUP(B56,0)</f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Camila Santiago da Silva</cp:lastModifiedBy>
  <dcterms:created xsi:type="dcterms:W3CDTF">2022-09-21T14:57:56Z</dcterms:created>
  <dcterms:modified xsi:type="dcterms:W3CDTF">2025-05-21T16:15:04Z</dcterms:modified>
</cp:coreProperties>
</file>